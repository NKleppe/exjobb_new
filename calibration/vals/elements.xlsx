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ly Kleppe\PycharmProjects\exjobb\calibration\vals\"/>
    </mc:Choice>
  </mc:AlternateContent>
  <xr:revisionPtr revIDLastSave="0" documentId="8_{393E00EB-F07C-415A-83E4-17CA11FDD11D}" xr6:coauthVersionLast="47" xr6:coauthVersionMax="47" xr10:uidLastSave="{00000000-0000-0000-0000-000000000000}"/>
  <bookViews>
    <workbookView xWindow="3060" yWindow="4260" windowWidth="21600" windowHeight="10920" xr2:uid="{E5EB204D-0EF4-45C5-BD62-475FD55666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D18" i="1"/>
  <c r="D17" i="1"/>
  <c r="D15" i="1"/>
  <c r="D14" i="1"/>
  <c r="D13" i="1"/>
  <c r="D12" i="1"/>
  <c r="D11" i="1"/>
  <c r="D10" i="1"/>
  <c r="D5" i="1"/>
  <c r="D4" i="1"/>
  <c r="D3" i="1"/>
</calcChain>
</file>

<file path=xl/sharedStrings.xml><?xml version="1.0" encoding="utf-8"?>
<sst xmlns="http://schemas.openxmlformats.org/spreadsheetml/2006/main" count="26" uniqueCount="26">
  <si>
    <t>Element</t>
  </si>
  <si>
    <t>Zi</t>
  </si>
  <si>
    <t>Ai</t>
  </si>
  <si>
    <t>Ii</t>
  </si>
  <si>
    <t>H</t>
  </si>
  <si>
    <t>Li</t>
  </si>
  <si>
    <t>Be</t>
  </si>
  <si>
    <t>B</t>
  </si>
  <si>
    <t>C</t>
  </si>
  <si>
    <t>N</t>
  </si>
  <si>
    <t>O</t>
  </si>
  <si>
    <t>F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</si>
  <si>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</si>
  <si>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</si>
  <si>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</si>
  <si>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</si>
  <si>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</si>
  <si>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</si>
  <si>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</si>
  <si>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</si>
  <si>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</si>
  <si>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</si>
  <si>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Fe</t>
  </si>
  <si>
    <t>Zn</t>
  </si>
  <si>
    <t>I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</si>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</sst>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D7B9-0A03-460D-A179-1BA2BD540701}">
  <dimension ref="A1:D23"/>
  <sheetViews>
    <sheetView tabSelected="1" workbookViewId="0">
      <selection activeCell="H7" sqref="H7"/>
    </sheetView>
  </sheetViews>
  <sheetFormatPr defaultRowHeight="15" x14ac:dyDescent="0.25"/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>
        <v>1.008</v>
      </c>
      <c r="D2" s="2">
        <v>19.2</v>
      </c>
    </row>
    <row r="3" spans="1:4" x14ac:dyDescent="0.25">
      <c r="A3" t="s">
        <v>5</v>
      </c>
      <c r="B3">
        <v>3</v>
      </c>
      <c r="C3">
        <v>6.94</v>
      </c>
      <c r="D3" s="2">
        <f>40*1.13</f>
        <v>45.199999999999996</v>
      </c>
    </row>
    <row r="4" spans="1:4" x14ac:dyDescent="0.25">
      <c r="A4" t="s">
        <v>6</v>
      </c>
      <c r="B4">
        <v>4</v>
      </c>
      <c r="C4">
        <v>9.0122</v>
      </c>
      <c r="D4" s="2">
        <f>63.7*1.13</f>
        <v>71.980999999999995</v>
      </c>
    </row>
    <row r="5" spans="1:4" x14ac:dyDescent="0.25">
      <c r="A5" t="s">
        <v>7</v>
      </c>
      <c r="B5">
        <v>5</v>
      </c>
      <c r="C5">
        <v>10.81</v>
      </c>
      <c r="D5" s="2">
        <f>76*1.13</f>
        <v>85.88</v>
      </c>
    </row>
    <row r="6" spans="1:4" x14ac:dyDescent="0.25">
      <c r="A6" t="s">
        <v>8</v>
      </c>
      <c r="B6">
        <v>6</v>
      </c>
      <c r="C6">
        <v>12.010999999999999</v>
      </c>
      <c r="D6" s="2">
        <v>81</v>
      </c>
    </row>
    <row r="7" spans="1:4" x14ac:dyDescent="0.25">
      <c r="A7" t="s">
        <v>9</v>
      </c>
      <c r="B7">
        <v>7</v>
      </c>
      <c r="C7">
        <v>14.007</v>
      </c>
      <c r="D7" s="2">
        <v>82</v>
      </c>
    </row>
    <row r="8" spans="1:4" x14ac:dyDescent="0.25">
      <c r="A8" t="s">
        <v>10</v>
      </c>
      <c r="B8">
        <v>8</v>
      </c>
      <c r="C8">
        <v>15.999000000000001</v>
      </c>
      <c r="D8" s="2">
        <v>106</v>
      </c>
    </row>
    <row r="9" spans="1:4" x14ac:dyDescent="0.25">
      <c r="A9" t="s">
        <v>11</v>
      </c>
      <c r="B9">
        <v>9</v>
      </c>
      <c r="C9">
        <v>18.998000000000001</v>
      </c>
      <c r="D9" s="2">
        <v>112</v>
      </c>
    </row>
    <row r="10" spans="1:4" x14ac:dyDescent="0.25">
      <c r="A10" t="s">
        <v>12</v>
      </c>
      <c r="B10">
        <v>11</v>
      </c>
      <c r="C10" s="3">
        <v>22.99</v>
      </c>
      <c r="D10" s="2">
        <f>149*1.13</f>
        <v>168.36999999999998</v>
      </c>
    </row>
    <row r="11" spans="1:4" x14ac:dyDescent="0.25">
      <c r="A11" t="s">
        <v>13</v>
      </c>
      <c r="B11">
        <v>12</v>
      </c>
      <c r="C11">
        <v>24.305</v>
      </c>
      <c r="D11" s="2">
        <f>156*1.13</f>
        <v>176.27999999999997</v>
      </c>
    </row>
    <row r="12" spans="1:4" x14ac:dyDescent="0.25">
      <c r="A12" t="s">
        <v>14</v>
      </c>
      <c r="B12">
        <v>13</v>
      </c>
      <c r="C12">
        <v>26.981999999999999</v>
      </c>
      <c r="D12" s="2">
        <f>166*1.13</f>
        <v>187.57999999999998</v>
      </c>
    </row>
    <row r="13" spans="1:4" x14ac:dyDescent="0.25">
      <c r="A13" t="s">
        <v>15</v>
      </c>
      <c r="B13">
        <v>14</v>
      </c>
      <c r="C13">
        <v>28.085000000000001</v>
      </c>
      <c r="D13" s="2">
        <f>173*1.13</f>
        <v>195.48999999999998</v>
      </c>
    </row>
    <row r="14" spans="1:4" x14ac:dyDescent="0.25">
      <c r="A14" t="s">
        <v>16</v>
      </c>
      <c r="B14">
        <v>15</v>
      </c>
      <c r="C14">
        <v>30.974</v>
      </c>
      <c r="D14" s="2">
        <f>173*1.13</f>
        <v>195.48999999999998</v>
      </c>
    </row>
    <row r="15" spans="1:4" x14ac:dyDescent="0.25">
      <c r="A15" t="s">
        <v>17</v>
      </c>
      <c r="B15">
        <v>16</v>
      </c>
      <c r="C15">
        <v>32.06</v>
      </c>
      <c r="D15" s="2">
        <f>180*1.13</f>
        <v>203.39999999999998</v>
      </c>
    </row>
    <row r="16" spans="1:4" x14ac:dyDescent="0.25">
      <c r="A16" t="s">
        <v>18</v>
      </c>
      <c r="B16">
        <v>17</v>
      </c>
      <c r="C16">
        <v>35.450000000000003</v>
      </c>
      <c r="D16" s="2">
        <v>180</v>
      </c>
    </row>
    <row r="17" spans="1:4" x14ac:dyDescent="0.25">
      <c r="A17" t="s">
        <v>19</v>
      </c>
      <c r="B17">
        <v>19</v>
      </c>
      <c r="C17">
        <v>39.097999999999999</v>
      </c>
      <c r="D17" s="2">
        <f>190*1.13</f>
        <v>214.7</v>
      </c>
    </row>
    <row r="18" spans="1:4" x14ac:dyDescent="0.25">
      <c r="A18" t="s">
        <v>20</v>
      </c>
      <c r="B18">
        <v>20</v>
      </c>
      <c r="C18">
        <v>40.078000000000003</v>
      </c>
      <c r="D18" s="2">
        <f>191*1.13</f>
        <v>215.82999999999998</v>
      </c>
    </row>
    <row r="19" spans="1:4" x14ac:dyDescent="0.25">
      <c r="A19" t="s">
        <v>21</v>
      </c>
      <c r="B19">
        <v>22</v>
      </c>
      <c r="C19">
        <v>47.866999999999997</v>
      </c>
      <c r="D19" s="2">
        <f>233*1.13</f>
        <v>263.28999999999996</v>
      </c>
    </row>
    <row r="20" spans="1:4" x14ac:dyDescent="0.25">
      <c r="A20" t="s">
        <v>22</v>
      </c>
      <c r="B20">
        <v>26</v>
      </c>
      <c r="C20">
        <v>55.844999999999999</v>
      </c>
      <c r="D20" s="2">
        <f>286*1.13</f>
        <v>323.17999999999995</v>
      </c>
    </row>
    <row r="21" spans="1:4" x14ac:dyDescent="0.25">
      <c r="A21" t="s">
        <v>23</v>
      </c>
      <c r="B21">
        <v>30</v>
      </c>
      <c r="C21">
        <v>65.38</v>
      </c>
      <c r="D21" s="2">
        <f>330*1.13</f>
        <v>372.9</v>
      </c>
    </row>
    <row r="22" spans="1:4" x14ac:dyDescent="0.25">
      <c r="A22" t="s">
        <v>24</v>
      </c>
      <c r="B22">
        <v>53</v>
      </c>
      <c r="C22" s="4">
        <v>126.9</v>
      </c>
      <c r="D22" s="2">
        <f>491*1.13</f>
        <v>554.82999999999993</v>
      </c>
    </row>
    <row r="23" spans="1:4" x14ac:dyDescent="0.25">
      <c r="A23" t="s">
        <v>25</v>
      </c>
      <c r="B23">
        <v>56</v>
      </c>
      <c r="C23">
        <v>137.33000000000001</v>
      </c>
      <c r="D23" s="2">
        <f>491*1.13</f>
        <v>554.82999999999993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Kleppe</dc:creator>
  <cp:lastModifiedBy>Nelly Kleppe</cp:lastModifiedBy>
  <dcterms:created xsi:type="dcterms:W3CDTF">2026-04-13T13:46:17Z</dcterms:created>
  <dcterms:modified xsi:type="dcterms:W3CDTF">2026-04-13T13:46:44Z</dcterms:modified>
</cp:coreProperties>
</file>